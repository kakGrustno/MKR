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lin Spasibo\Desktop\учеба\мсс\"/>
    </mc:Choice>
  </mc:AlternateContent>
  <bookViews>
    <workbookView xWindow="360" yWindow="60" windowWidth="7632" windowHeight="10800" activeTab="2"/>
  </bookViews>
  <sheets>
    <sheet name="ГР_1 рода" sheetId="1" r:id="rId1"/>
    <sheet name="ГР_2 рода" sheetId="2" r:id="rId2"/>
    <sheet name="ГР_3 рода" sheetId="3" r:id="rId3"/>
  </sheets>
  <calcPr calcId="162913"/>
</workbook>
</file>

<file path=xl/calcChain.xml><?xml version="1.0" encoding="utf-8"?>
<calcChain xmlns="http://schemas.openxmlformats.org/spreadsheetml/2006/main">
  <c r="F8" i="3" l="1"/>
  <c r="C4" i="3" l="1"/>
  <c r="AI4" i="2"/>
  <c r="C4" i="2"/>
  <c r="AJ8" i="2" s="1"/>
  <c r="M4" i="2" l="1"/>
  <c r="AC4" i="2"/>
  <c r="O4" i="2"/>
  <c r="AE4" i="2"/>
  <c r="Q4" i="2"/>
  <c r="AG4" i="2"/>
  <c r="S4" i="2"/>
  <c r="C5" i="2"/>
  <c r="G4" i="2"/>
  <c r="N8" i="2"/>
  <c r="I4" i="2"/>
  <c r="Y4" i="2"/>
  <c r="R8" i="2"/>
  <c r="U4" i="2"/>
  <c r="J8" i="2"/>
  <c r="W4" i="2"/>
  <c r="K4" i="2"/>
  <c r="AA4" i="2"/>
  <c r="X8" i="3"/>
  <c r="AF8" i="3"/>
  <c r="L8" i="3"/>
  <c r="T8" i="3"/>
  <c r="F5" i="3"/>
  <c r="AA8" i="3"/>
  <c r="W8" i="3"/>
  <c r="AB8" i="3"/>
  <c r="P8" i="3"/>
  <c r="AC8" i="3"/>
  <c r="Q8" i="3"/>
  <c r="J8" i="3"/>
  <c r="AE8" i="3"/>
  <c r="S8" i="3"/>
  <c r="Y8" i="3"/>
  <c r="AG8" i="3"/>
  <c r="M8" i="3"/>
  <c r="U8" i="3"/>
  <c r="Z8" i="3"/>
  <c r="AH8" i="3"/>
  <c r="N8" i="3"/>
  <c r="V8" i="3"/>
  <c r="AI8" i="3"/>
  <c r="O8" i="3"/>
  <c r="H8" i="3"/>
  <c r="I8" i="3"/>
  <c r="AD8" i="3"/>
  <c r="R8" i="3"/>
  <c r="K8" i="3"/>
  <c r="I4" i="3"/>
  <c r="Q4" i="3"/>
  <c r="J4" i="3"/>
  <c r="R4" i="3"/>
  <c r="Z4" i="3"/>
  <c r="AH4" i="3"/>
  <c r="N4" i="3"/>
  <c r="V4" i="3"/>
  <c r="AD4" i="3"/>
  <c r="G4" i="3"/>
  <c r="K4" i="3"/>
  <c r="O4" i="3"/>
  <c r="S4" i="3"/>
  <c r="W4" i="3"/>
  <c r="AA4" i="3"/>
  <c r="AE4" i="3"/>
  <c r="AI4" i="3"/>
  <c r="H4" i="3"/>
  <c r="L4" i="3"/>
  <c r="P4" i="3"/>
  <c r="T4" i="3"/>
  <c r="X4" i="3"/>
  <c r="AB4" i="3"/>
  <c r="AF4" i="3"/>
  <c r="AJ4" i="3"/>
  <c r="M4" i="3"/>
  <c r="U4" i="3"/>
  <c r="Y4" i="3"/>
  <c r="AC4" i="3"/>
  <c r="AG4" i="3"/>
  <c r="C5" i="3"/>
  <c r="J4" i="2"/>
  <c r="N4" i="2"/>
  <c r="R4" i="2"/>
  <c r="V4" i="2"/>
  <c r="Z4" i="2"/>
  <c r="AD4" i="2"/>
  <c r="AH4" i="2"/>
  <c r="F5" i="2"/>
  <c r="J7" i="2"/>
  <c r="I8" i="2"/>
  <c r="M8" i="2"/>
  <c r="Q8" i="2"/>
  <c r="U8" i="2"/>
  <c r="Y8" i="2"/>
  <c r="AC8" i="2"/>
  <c r="AG8" i="2"/>
  <c r="V8" i="2"/>
  <c r="Z8" i="2"/>
  <c r="AD8" i="2"/>
  <c r="AH8" i="2"/>
  <c r="H4" i="2"/>
  <c r="L4" i="2"/>
  <c r="P4" i="2"/>
  <c r="T4" i="2"/>
  <c r="X4" i="2"/>
  <c r="AB4" i="2"/>
  <c r="AF4" i="2"/>
  <c r="AJ4" i="2"/>
  <c r="K8" i="2"/>
  <c r="O8" i="2"/>
  <c r="S8" i="2"/>
  <c r="W8" i="2"/>
  <c r="AA8" i="2"/>
  <c r="AE8" i="2"/>
  <c r="AI8" i="2"/>
  <c r="Q7" i="2"/>
  <c r="H8" i="2"/>
  <c r="L8" i="2"/>
  <c r="P8" i="2"/>
  <c r="T8" i="2"/>
  <c r="X8" i="2"/>
  <c r="AB8" i="2"/>
  <c r="AF8" i="2"/>
  <c r="AG7" i="2" l="1"/>
  <c r="H7" i="2"/>
  <c r="G7" i="2"/>
  <c r="S7" i="2"/>
  <c r="K7" i="2"/>
  <c r="O7" i="2"/>
  <c r="AI7" i="2"/>
  <c r="AE7" i="2"/>
  <c r="AA7" i="2"/>
  <c r="W7" i="2"/>
  <c r="AF7" i="2"/>
  <c r="I7" i="2"/>
  <c r="X7" i="2"/>
  <c r="Z7" i="2"/>
  <c r="M7" i="2"/>
  <c r="AB7" i="2"/>
  <c r="AF7" i="3"/>
  <c r="X7" i="3"/>
  <c r="P7" i="3"/>
  <c r="U7" i="3"/>
  <c r="AB7" i="3"/>
  <c r="T7" i="3"/>
  <c r="AA7" i="3"/>
  <c r="K7" i="3"/>
  <c r="AH7" i="3"/>
  <c r="R7" i="3"/>
  <c r="Q7" i="3"/>
  <c r="AE7" i="3"/>
  <c r="W7" i="3"/>
  <c r="O7" i="3"/>
  <c r="AD7" i="3"/>
  <c r="V7" i="3"/>
  <c r="N7" i="3"/>
  <c r="AC7" i="3"/>
  <c r="M7" i="3"/>
  <c r="H7" i="3"/>
  <c r="L7" i="3"/>
  <c r="AI7" i="3"/>
  <c r="S7" i="3"/>
  <c r="Z7" i="3"/>
  <c r="J7" i="3"/>
  <c r="AG7" i="3"/>
  <c r="Y7" i="3"/>
  <c r="I7" i="3"/>
  <c r="P7" i="2"/>
  <c r="V7" i="2"/>
  <c r="Y7" i="2"/>
  <c r="L7" i="2"/>
  <c r="R7" i="2"/>
  <c r="G7" i="3"/>
  <c r="G8" i="3"/>
  <c r="AH7" i="2"/>
  <c r="AD7" i="2"/>
  <c r="T7" i="2"/>
  <c r="AC7" i="2"/>
  <c r="U7" i="2"/>
  <c r="N7" i="2"/>
  <c r="G8" i="2"/>
  <c r="M7" i="1" l="1"/>
  <c r="N7" i="1"/>
  <c r="O7" i="1"/>
  <c r="U7" i="1"/>
  <c r="V7" i="1"/>
  <c r="W7" i="1"/>
  <c r="AC7" i="1"/>
  <c r="AD7" i="1"/>
  <c r="AE7" i="1"/>
  <c r="C5" i="1"/>
  <c r="G7" i="1" s="1"/>
  <c r="AC4" i="1"/>
  <c r="AD4" i="1"/>
  <c r="AE4" i="1"/>
  <c r="AJ4" i="1"/>
  <c r="W4" i="1"/>
  <c r="X4" i="1"/>
  <c r="Y4" i="1"/>
  <c r="M4" i="1"/>
  <c r="N4" i="1"/>
  <c r="O4" i="1"/>
  <c r="P4" i="1"/>
  <c r="U4" i="1"/>
  <c r="V4" i="1"/>
  <c r="H4" i="1"/>
  <c r="I4" i="1"/>
  <c r="C4" i="1"/>
  <c r="AF4" i="1" s="1"/>
  <c r="AB7" i="1" l="1"/>
  <c r="T7" i="1"/>
  <c r="L7" i="1"/>
  <c r="T4" i="1"/>
  <c r="L4" i="1"/>
  <c r="AI4" i="1"/>
  <c r="AI7" i="1"/>
  <c r="S7" i="1"/>
  <c r="G4" i="1"/>
  <c r="S4" i="1"/>
  <c r="AH4" i="1"/>
  <c r="Z7" i="1"/>
  <c r="J7" i="1"/>
  <c r="K4" i="1"/>
  <c r="R4" i="1"/>
  <c r="AA4" i="1"/>
  <c r="AG4" i="1"/>
  <c r="AG7" i="1"/>
  <c r="Y7" i="1"/>
  <c r="Q7" i="1"/>
  <c r="I7" i="1"/>
  <c r="AA7" i="1"/>
  <c r="K7" i="1"/>
  <c r="AB4" i="1"/>
  <c r="AH7" i="1"/>
  <c r="R7" i="1"/>
  <c r="J4" i="1"/>
  <c r="Q4" i="1"/>
  <c r="Z4" i="1"/>
  <c r="AF7" i="1"/>
  <c r="X7" i="1"/>
  <c r="P7" i="1"/>
  <c r="H7" i="1"/>
</calcChain>
</file>

<file path=xl/sharedStrings.xml><?xml version="1.0" encoding="utf-8"?>
<sst xmlns="http://schemas.openxmlformats.org/spreadsheetml/2006/main" count="40" uniqueCount="15">
  <si>
    <t>L</t>
  </si>
  <si>
    <t>dx</t>
  </si>
  <si>
    <t>dt</t>
  </si>
  <si>
    <t>t</t>
  </si>
  <si>
    <t>Cp</t>
  </si>
  <si>
    <t>λ</t>
  </si>
  <si>
    <t>ρ</t>
  </si>
  <si>
    <t>T</t>
  </si>
  <si>
    <t>T_iter</t>
  </si>
  <si>
    <t>q</t>
  </si>
  <si>
    <t>q_start</t>
  </si>
  <si>
    <t>T_end</t>
  </si>
  <si>
    <t>α</t>
  </si>
  <si>
    <t>T_gas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</si>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</sst>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Bahnschrift Light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1" fillId="0" borderId="0" xfId="0" applyFont="1"/>
    <xf numFmtId="0" fontId="1" fillId="0" borderId="2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164" fontId="1" fillId="0" borderId="3" xfId="0" applyNumberFormat="1" applyFont="1" applyBorder="1"/>
    <xf numFmtId="0" fontId="1" fillId="0" borderId="1" xfId="0" applyFont="1" applyFill="1" applyBorder="1"/>
    <xf numFmtId="0" fontId="1" fillId="0" borderId="0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8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12231189964295"/>
          <c:y val="0.11163806076883036"/>
          <c:w val="0.78045374816083213"/>
          <c:h val="0.7899673100348558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'ГР_1 рода'!$F$4:$AJ$4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'ГР_1 рода'!$F$5:$AJ$5</c:f>
              <c:numCache>
                <c:formatCode>0.000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4-49A2-B00E-7FBF928FA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12032"/>
        <c:axId val="74817920"/>
      </c:scatterChart>
      <c:valAx>
        <c:axId val="748120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817920"/>
        <c:crosses val="autoZero"/>
        <c:crossBetween val="midCat"/>
      </c:valAx>
      <c:valAx>
        <c:axId val="74817920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81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09974421239619"/>
          <c:y val="8.4446767683451343E-2"/>
          <c:w val="0.76228566249362739"/>
          <c:h val="0.817158605174353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'ГР_2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'ГР_2 рода'!$F$5:$AJ$5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C-4573-9067-EDAA01ACA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41472"/>
        <c:axId val="61854848"/>
      </c:scatterChart>
      <c:valAx>
        <c:axId val="74841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854848"/>
        <c:crosses val="autoZero"/>
        <c:crossBetween val="midCat"/>
      </c:valAx>
      <c:valAx>
        <c:axId val="61854848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84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11"/>
          <c:y val="8.2399427344309231E-2"/>
          <c:w val="0.75587226190693668"/>
          <c:h val="0.8192060128847530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'ГР_3 рода'!$F$4:$AJ$4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'ГР_3 рода'!$F$5:$AJ$5</c:f>
              <c:numCache>
                <c:formatCode>0.000</c:formatCode>
                <c:ptCount val="31"/>
                <c:pt idx="0">
                  <c:v>29.661999197871289</c:v>
                </c:pt>
                <c:pt idx="1">
                  <c:v>29.296781806566941</c:v>
                </c:pt>
                <c:pt idx="2">
                  <c:v>28.935233895675822</c:v>
                </c:pt>
                <c:pt idx="3">
                  <c:v>28.57734500133509</c:v>
                </c:pt>
                <c:pt idx="4">
                  <c:v>28.223094474061632</c:v>
                </c:pt>
                <c:pt idx="5">
                  <c:v>27.872451042938547</c:v>
                </c:pt>
                <c:pt idx="6">
                  <c:v>27.525373638766656</c:v>
                </c:pt>
                <c:pt idx="7">
                  <c:v>27.181810544127231</c:v>
                </c:pt>
                <c:pt idx="8">
                  <c:v>26.841700727225529</c:v>
                </c:pt>
                <c:pt idx="9">
                  <c:v>26.504972620206598</c:v>
                </c:pt>
                <c:pt idx="10">
                  <c:v>26.171545908345795</c:v>
                </c:pt>
                <c:pt idx="11">
                  <c:v>25.84132999772142</c:v>
                </c:pt>
                <c:pt idx="12">
                  <c:v>25.514226185724361</c:v>
                </c:pt>
                <c:pt idx="13">
                  <c:v>25.190125895089981</c:v>
                </c:pt>
                <c:pt idx="14">
                  <c:v>24.868913136284426</c:v>
                </c:pt>
                <c:pt idx="15">
                  <c:v>24.550462597229068</c:v>
                </c:pt>
                <c:pt idx="16">
                  <c:v>24.23464229665047</c:v>
                </c:pt>
                <c:pt idx="17">
                  <c:v>23.921311627016443</c:v>
                </c:pt>
                <c:pt idx="18">
                  <c:v>23.610324090909334</c:v>
                </c:pt>
                <c:pt idx="19">
                  <c:v>23.301525398344417</c:v>
                </c:pt>
                <c:pt idx="20">
                  <c:v>22.994756175941333</c:v>
                </c:pt>
                <c:pt idx="21">
                  <c:v>22.689850218730903</c:v>
                </c:pt>
                <c:pt idx="22">
                  <c:v>22.386637064443796</c:v>
                </c:pt>
                <c:pt idx="23">
                  <c:v>22.084940494163121</c:v>
                </c:pt>
                <c:pt idx="24">
                  <c:v>21.784580871292931</c:v>
                </c:pt>
                <c:pt idx="25">
                  <c:v>21.485373975227027</c:v>
                </c:pt>
                <c:pt idx="26">
                  <c:v>21.187133016162292</c:v>
                </c:pt>
                <c:pt idx="27">
                  <c:v>20.889667871777267</c:v>
                </c:pt>
                <c:pt idx="28">
                  <c:v>20.592786704481462</c:v>
                </c:pt>
                <c:pt idx="29">
                  <c:v>20.296295653561259</c:v>
                </c:pt>
                <c:pt idx="3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3-4832-B82B-10F762040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69760"/>
        <c:axId val="75823360"/>
      </c:scatterChart>
      <c:valAx>
        <c:axId val="748697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823360"/>
        <c:crosses val="autoZero"/>
        <c:crossBetween val="midCat"/>
      </c:valAx>
      <c:valAx>
        <c:axId val="75823360"/>
        <c:scaling>
          <c:orientation val="minMax"/>
          <c:max val="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86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312964</xdr:colOff>
      <xdr:row>8</xdr:row>
      <xdr:rowOff>122465</xdr:rowOff>
    </xdr:from>
    <xdr:to>
      <xdr:col>21</xdr:col>
      <xdr:colOff>241300</xdr:colOff>
      <xdr:row>33</xdr:row>
      <xdr:rowOff>25401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0.07412</cdr:x>
      <cdr:y>0.03279</cdr:y>
    </cdr:from>
    <cdr:to>
      <cdr:x>0.17363</cdr:x>
      <cdr:y>0.09151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830035" y="219538"/>
          <a:ext cx="1114380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0.8932</cdr:x>
      <cdr:y>0.85365</cdr:y>
    </cdr:from>
    <cdr:to>
      <cdr:x>1</cdr:x>
      <cdr:y>0.91237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063649" y="5714955"/>
          <a:ext cx="1196019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444501</xdr:colOff>
      <xdr:row>10</xdr:row>
      <xdr:rowOff>95250</xdr:rowOff>
    </xdr:from>
    <xdr:to>
      <xdr:col>23</xdr:col>
      <xdr:colOff>419101</xdr:colOff>
      <xdr:row>35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0.05567</cdr:x>
      <cdr:y>0.00637</cdr:y>
    </cdr:from>
    <cdr:to>
      <cdr:x>0.15518</cdr:x>
      <cdr:y>0.06509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614185" y="48135"/>
          <a:ext cx="1097907" cy="4437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0.88518</cdr:x>
      <cdr:y>0.86597</cdr:y>
    </cdr:from>
    <cdr:to>
      <cdr:x>0.99198</cdr:x>
      <cdr:y>0.92469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66348" y="6543676"/>
          <a:ext cx="1178338" cy="4437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434975</xdr:colOff>
      <xdr:row>12</xdr:row>
      <xdr:rowOff>15875</xdr:rowOff>
    </xdr:from>
    <xdr:to>
      <xdr:col>24</xdr:col>
      <xdr:colOff>177800</xdr:colOff>
      <xdr:row>34</xdr:row>
      <xdr:rowOff>76200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0.07059</cdr:x>
      <cdr:y>0.01546</cdr:y>
    </cdr:from>
    <cdr:to>
      <cdr:x>0.1701</cdr:x>
      <cdr:y>0.07418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772727" y="107994"/>
          <a:ext cx="1089376" cy="4101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0.90245</cdr:x>
      <cdr:y>0.88121</cdr:y>
    </cdr:from>
    <cdr:to>
      <cdr:x>0.98985</cdr:x>
      <cdr:y>0.93781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879505" y="5511762"/>
          <a:ext cx="956770" cy="35398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3"/>
  <sheetViews>
    <sheetView zoomScale="60" zoomScaleNormal="60" workbookViewId="0">
      <selection activeCell="G31" sqref="G31"/>
    </sheetView>
  </sheetViews>
  <sheetFormatPr defaultRowHeight="13.8" x14ac:dyDescent="0.25"/>
  <cols>
    <col min="1" max="2" width="8.88671875" style="2"/>
    <col min="3" max="3" width="10.109375" style="2" bestFit="1" customWidth="1"/>
    <col min="4" max="5" width="8.88671875" style="2"/>
    <col min="6" max="36" width="8.44140625" style="2" customWidth="1"/>
    <col min="37" max="16384" width="8.88671875" style="2"/>
  </cols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s="1" t="s">
        <v>0</v>
      </c>
      <c r="F4" s="6">
        <v>0</v>
      </c>
      <c r="G4" s="4">
        <f>F3*$C$4</f>
        <v>3.3333333333333335E-3</v>
      </c>
      <c r="H4" s="4">
        <f t="shared" ref="H4:AJ4" si="0">G3*$C$4</f>
        <v>6.6666666666666671E-3</v>
      </c>
      <c r="I4" s="4">
        <f t="shared" si="0"/>
        <v>0.01</v>
      </c>
      <c r="J4" s="4">
        <f t="shared" si="0"/>
        <v>1.3333333333333334E-2</v>
      </c>
      <c r="K4" s="4">
        <f t="shared" si="0"/>
        <v>1.6666666666666666E-2</v>
      </c>
      <c r="L4" s="4">
        <f t="shared" si="0"/>
        <v>0.02</v>
      </c>
      <c r="M4" s="4">
        <f t="shared" si="0"/>
        <v>2.3333333333333334E-2</v>
      </c>
      <c r="N4" s="4">
        <f t="shared" si="0"/>
        <v>2.6666666666666668E-2</v>
      </c>
      <c r="O4" s="4">
        <f t="shared" si="0"/>
        <v>3.0000000000000002E-2</v>
      </c>
      <c r="P4" s="4">
        <f t="shared" si="0"/>
        <v>3.3333333333333333E-2</v>
      </c>
      <c r="Q4" s="4">
        <f t="shared" si="0"/>
        <v>3.6666666666666667E-2</v>
      </c>
      <c r="R4" s="4">
        <f t="shared" si="0"/>
        <v>0.04</v>
      </c>
      <c r="S4" s="4">
        <f t="shared" si="0"/>
        <v>4.3333333333333335E-2</v>
      </c>
      <c r="T4" s="4">
        <f t="shared" si="0"/>
        <v>4.6666666666666669E-2</v>
      </c>
      <c r="U4" s="4">
        <f t="shared" si="0"/>
        <v>0.05</v>
      </c>
      <c r="V4" s="4">
        <f t="shared" si="0"/>
        <v>5.3333333333333337E-2</v>
      </c>
      <c r="W4" s="4">
        <f t="shared" si="0"/>
        <v>5.6666666666666671E-2</v>
      </c>
      <c r="X4" s="4">
        <f t="shared" si="0"/>
        <v>6.0000000000000005E-2</v>
      </c>
      <c r="Y4" s="4">
        <f t="shared" si="0"/>
        <v>6.3333333333333339E-2</v>
      </c>
      <c r="Z4" s="4">
        <f t="shared" si="0"/>
        <v>6.6666666666666666E-2</v>
      </c>
      <c r="AA4" s="4">
        <f t="shared" si="0"/>
        <v>7.0000000000000007E-2</v>
      </c>
      <c r="AB4" s="4">
        <f t="shared" si="0"/>
        <v>7.3333333333333334E-2</v>
      </c>
      <c r="AC4" s="4">
        <f t="shared" si="0"/>
        <v>7.6666666666666675E-2</v>
      </c>
      <c r="AD4" s="4">
        <f t="shared" si="0"/>
        <v>0.08</v>
      </c>
      <c r="AE4" s="4">
        <f t="shared" si="0"/>
        <v>8.3333333333333343E-2</v>
      </c>
      <c r="AF4" s="4">
        <f t="shared" si="0"/>
        <v>8.666666666666667E-2</v>
      </c>
      <c r="AG4" s="4">
        <f t="shared" si="0"/>
        <v>9.0000000000000011E-2</v>
      </c>
      <c r="AH4" s="4">
        <f t="shared" si="0"/>
        <v>9.3333333333333338E-2</v>
      </c>
      <c r="AI4" s="4">
        <f t="shared" si="0"/>
        <v>9.6666666666666679E-2</v>
      </c>
      <c r="AJ4" s="4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1" t="s">
        <v>7</v>
      </c>
      <c r="F5" s="4">
        <v>300</v>
      </c>
      <c r="G5" s="4">
        <v>293.32310708172031</v>
      </c>
      <c r="H5" s="4">
        <v>286.64621416344067</v>
      </c>
      <c r="I5" s="4">
        <v>279.96976818142753</v>
      </c>
      <c r="J5" s="4">
        <v>273.29332219941438</v>
      </c>
      <c r="K5" s="4">
        <v>266.61775055667476</v>
      </c>
      <c r="L5" s="4">
        <v>259.94217891393515</v>
      </c>
      <c r="M5" s="4">
        <v>253.26787080065432</v>
      </c>
      <c r="N5" s="4">
        <v>246.59356268737349</v>
      </c>
      <c r="O5" s="4">
        <v>239.9208520714362</v>
      </c>
      <c r="P5" s="4">
        <v>233.24814145549891</v>
      </c>
      <c r="Q5" s="4">
        <v>226.57729248649036</v>
      </c>
      <c r="R5" s="4">
        <v>219.90644351748179</v>
      </c>
      <c r="S5" s="4">
        <v>213.23763898208321</v>
      </c>
      <c r="T5" s="4">
        <v>206.56883444668463</v>
      </c>
      <c r="U5" s="4">
        <v>199.9021677800182</v>
      </c>
      <c r="V5" s="4">
        <v>193.2355011133518</v>
      </c>
      <c r="W5" s="4">
        <v>186.57097231541749</v>
      </c>
      <c r="X5" s="4">
        <v>179.90644351748318</v>
      </c>
      <c r="Y5" s="4">
        <v>173.24395915315873</v>
      </c>
      <c r="Z5" s="4">
        <v>166.58147478883427</v>
      </c>
      <c r="AA5" s="4">
        <v>159.92085207143839</v>
      </c>
      <c r="AB5" s="4">
        <v>153.26022935404251</v>
      </c>
      <c r="AC5" s="4">
        <v>146.60120413398997</v>
      </c>
      <c r="AD5" s="4">
        <v>139.94217891393743</v>
      </c>
      <c r="AE5" s="4">
        <v>133.28441722334344</v>
      </c>
      <c r="AF5" s="4">
        <v>126.62665553274945</v>
      </c>
      <c r="AG5" s="4">
        <v>119.96976818142888</v>
      </c>
      <c r="AH5" s="4">
        <v>113.3128808301083</v>
      </c>
      <c r="AI5" s="4">
        <v>106.65644041505415</v>
      </c>
      <c r="AJ5" s="4">
        <v>100</v>
      </c>
    </row>
    <row r="6" spans="2:36" x14ac:dyDescent="0.25">
      <c r="B6" s="1" t="s">
        <v>3</v>
      </c>
      <c r="C6" s="1">
        <v>500</v>
      </c>
      <c r="D6" s="2">
        <v>500.06666666666672</v>
      </c>
    </row>
    <row r="7" spans="2:36" x14ac:dyDescent="0.25">
      <c r="E7" s="1" t="s">
        <v>8</v>
      </c>
      <c r="F7" s="1"/>
      <c r="G7" s="1">
        <f>G5+(($C$10*$C$5)/($C$8*$C$9))*((H5-2*G5+F5)/($C$4^2))</f>
        <v>293.32310708172031</v>
      </c>
      <c r="H7" s="1">
        <f t="shared" ref="H7:AI7" si="1">H5+(($C$10*$C$5)/($C$8*$C$9))*((I5-2*H5+G5)/($C$4^2))</f>
        <v>286.64643763157392</v>
      </c>
      <c r="I7" s="1">
        <f t="shared" si="1"/>
        <v>279.96976818142753</v>
      </c>
      <c r="J7" s="1">
        <f t="shared" si="1"/>
        <v>273.29375936905114</v>
      </c>
      <c r="K7" s="1">
        <f t="shared" si="1"/>
        <v>266.61775055667476</v>
      </c>
      <c r="L7" s="1">
        <f t="shared" si="1"/>
        <v>259.94281067866456</v>
      </c>
      <c r="M7" s="1">
        <f t="shared" si="1"/>
        <v>253.26787080065432</v>
      </c>
      <c r="N7" s="1">
        <f t="shared" si="1"/>
        <v>246.59436143604526</v>
      </c>
      <c r="O7" s="1">
        <f t="shared" si="1"/>
        <v>239.9208520714362</v>
      </c>
      <c r="P7" s="1">
        <f t="shared" si="1"/>
        <v>233.2490722789633</v>
      </c>
      <c r="Q7" s="1">
        <f t="shared" si="1"/>
        <v>226.57729248649036</v>
      </c>
      <c r="R7" s="1">
        <f t="shared" si="1"/>
        <v>219.9074657342868</v>
      </c>
      <c r="S7" s="1">
        <f t="shared" si="1"/>
        <v>213.23763898208321</v>
      </c>
      <c r="T7" s="1">
        <f t="shared" si="1"/>
        <v>206.56990338105072</v>
      </c>
      <c r="U7" s="1">
        <f t="shared" si="1"/>
        <v>199.9021677800182</v>
      </c>
      <c r="V7" s="1">
        <f t="shared" si="1"/>
        <v>193.23657004771786</v>
      </c>
      <c r="W7" s="1">
        <f t="shared" si="1"/>
        <v>186.57097231541749</v>
      </c>
      <c r="X7" s="1">
        <f t="shared" si="1"/>
        <v>179.90746573428811</v>
      </c>
      <c r="Y7" s="1">
        <f t="shared" si="1"/>
        <v>173.24395915315873</v>
      </c>
      <c r="Z7" s="1">
        <f t="shared" si="1"/>
        <v>166.58240561229854</v>
      </c>
      <c r="AA7" s="1">
        <f t="shared" si="1"/>
        <v>159.92085207143839</v>
      </c>
      <c r="AB7" s="1">
        <f t="shared" si="1"/>
        <v>153.26102810271419</v>
      </c>
      <c r="AC7" s="1">
        <f t="shared" si="1"/>
        <v>146.60120413398997</v>
      </c>
      <c r="AD7" s="1">
        <f t="shared" si="1"/>
        <v>139.94281067866672</v>
      </c>
      <c r="AE7" s="1">
        <f t="shared" si="1"/>
        <v>133.28441722334344</v>
      </c>
      <c r="AF7" s="1">
        <f t="shared" si="1"/>
        <v>126.62709270238616</v>
      </c>
      <c r="AG7" s="1">
        <f t="shared" si="1"/>
        <v>119.96976818142888</v>
      </c>
      <c r="AH7" s="1">
        <f t="shared" si="1"/>
        <v>113.31310429824151</v>
      </c>
      <c r="AI7" s="1">
        <f t="shared" si="1"/>
        <v>106.65644041505415</v>
      </c>
      <c r="AJ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6</v>
      </c>
      <c r="C9" s="1">
        <v>7800</v>
      </c>
    </row>
    <row r="10" spans="2:36" x14ac:dyDescent="0.25">
      <c r="B10" s="1" t="s">
        <v>5</v>
      </c>
      <c r="C10" s="1">
        <v>46</v>
      </c>
    </row>
    <row r="12" spans="2:36" x14ac:dyDescent="0.25">
      <c r="B12" s="1" t="s">
        <v>14</v>
      </c>
      <c r="C12" s="1">
        <v>300</v>
      </c>
    </row>
    <row r="13" spans="2:36" x14ac:dyDescent="0.25">
      <c r="B13" s="1" t="s">
        <v>11</v>
      </c>
      <c r="C13" s="1">
        <v>100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3"/>
  <sheetViews>
    <sheetView zoomScale="60" zoomScaleNormal="60" workbookViewId="0">
      <selection activeCell="J15" sqref="J15"/>
    </sheetView>
  </sheetViews>
  <sheetFormatPr defaultRowHeight="13.8" x14ac:dyDescent="0.25"/>
  <cols>
    <col min="1" max="16384" width="8.88671875" style="2"/>
  </cols>
  <sheetData>
    <row r="3" spans="2:36" x14ac:dyDescent="0.25">
      <c r="B3" s="1" t="s">
        <v>0</v>
      </c>
      <c r="C3" s="1">
        <v>0.1</v>
      </c>
      <c r="F3" s="3">
        <v>1</v>
      </c>
      <c r="G3" s="3">
        <v>2</v>
      </c>
      <c r="H3" s="3">
        <v>3</v>
      </c>
      <c r="I3" s="3">
        <v>4</v>
      </c>
      <c r="J3" s="3">
        <v>5</v>
      </c>
      <c r="K3" s="3">
        <v>6</v>
      </c>
      <c r="L3" s="3">
        <v>7</v>
      </c>
      <c r="M3" s="3">
        <v>8</v>
      </c>
      <c r="N3" s="3">
        <v>9</v>
      </c>
      <c r="O3" s="3">
        <v>10</v>
      </c>
      <c r="P3" s="3">
        <v>11</v>
      </c>
      <c r="Q3" s="3">
        <v>12</v>
      </c>
      <c r="R3" s="3">
        <v>13</v>
      </c>
      <c r="S3" s="3">
        <v>14</v>
      </c>
      <c r="T3" s="3">
        <v>15</v>
      </c>
      <c r="U3" s="3">
        <v>16</v>
      </c>
      <c r="V3" s="3">
        <v>17</v>
      </c>
      <c r="W3" s="3">
        <v>18</v>
      </c>
      <c r="X3" s="3">
        <v>19</v>
      </c>
      <c r="Y3" s="3">
        <v>20</v>
      </c>
      <c r="Z3" s="3">
        <v>21</v>
      </c>
      <c r="AA3" s="3">
        <v>22</v>
      </c>
      <c r="AB3" s="3">
        <v>23</v>
      </c>
      <c r="AC3" s="3">
        <v>24</v>
      </c>
      <c r="AD3" s="3">
        <v>25</v>
      </c>
      <c r="AE3" s="3">
        <v>26</v>
      </c>
      <c r="AF3" s="3">
        <v>27</v>
      </c>
      <c r="AG3" s="3">
        <v>28</v>
      </c>
      <c r="AH3" s="3">
        <v>29</v>
      </c>
      <c r="AI3" s="3">
        <v>30</v>
      </c>
      <c r="AJ3" s="3">
        <v>31</v>
      </c>
    </row>
    <row r="4" spans="2:36" x14ac:dyDescent="0.25">
      <c r="B4" s="1" t="s">
        <v>1</v>
      </c>
      <c r="C4" s="4">
        <f>C3/30</f>
        <v>3.3333333333333335E-3</v>
      </c>
      <c r="E4" s="1" t="s">
        <v>0</v>
      </c>
      <c r="F4" s="5">
        <v>0</v>
      </c>
      <c r="G4" s="5">
        <f>F3*$C$4</f>
        <v>3.3333333333333335E-3</v>
      </c>
      <c r="H4" s="5">
        <f t="shared" ref="H4:AJ4" si="0">G3*$C$4</f>
        <v>6.6666666666666671E-3</v>
      </c>
      <c r="I4" s="5">
        <f t="shared" si="0"/>
        <v>0.01</v>
      </c>
      <c r="J4" s="5">
        <f t="shared" si="0"/>
        <v>1.3333333333333334E-2</v>
      </c>
      <c r="K4" s="5">
        <f t="shared" si="0"/>
        <v>1.6666666666666666E-2</v>
      </c>
      <c r="L4" s="5">
        <f t="shared" si="0"/>
        <v>0.02</v>
      </c>
      <c r="M4" s="5">
        <f t="shared" si="0"/>
        <v>2.3333333333333334E-2</v>
      </c>
      <c r="N4" s="5">
        <f t="shared" si="0"/>
        <v>2.6666666666666668E-2</v>
      </c>
      <c r="O4" s="5">
        <f t="shared" si="0"/>
        <v>3.0000000000000002E-2</v>
      </c>
      <c r="P4" s="5">
        <f t="shared" si="0"/>
        <v>3.3333333333333333E-2</v>
      </c>
      <c r="Q4" s="5">
        <f t="shared" si="0"/>
        <v>3.6666666666666667E-2</v>
      </c>
      <c r="R4" s="5">
        <f t="shared" si="0"/>
        <v>0.04</v>
      </c>
      <c r="S4" s="5">
        <f t="shared" si="0"/>
        <v>4.3333333333333335E-2</v>
      </c>
      <c r="T4" s="5">
        <f t="shared" si="0"/>
        <v>4.6666666666666669E-2</v>
      </c>
      <c r="U4" s="5">
        <f t="shared" si="0"/>
        <v>0.05</v>
      </c>
      <c r="V4" s="5">
        <f t="shared" si="0"/>
        <v>5.3333333333333337E-2</v>
      </c>
      <c r="W4" s="5">
        <f t="shared" si="0"/>
        <v>5.6666666666666671E-2</v>
      </c>
      <c r="X4" s="5">
        <f t="shared" si="0"/>
        <v>6.0000000000000005E-2</v>
      </c>
      <c r="Y4" s="5">
        <f t="shared" si="0"/>
        <v>6.3333333333333339E-2</v>
      </c>
      <c r="Z4" s="5">
        <f t="shared" si="0"/>
        <v>6.6666666666666666E-2</v>
      </c>
      <c r="AA4" s="5">
        <f t="shared" si="0"/>
        <v>7.0000000000000007E-2</v>
      </c>
      <c r="AB4" s="5">
        <f t="shared" si="0"/>
        <v>7.3333333333333334E-2</v>
      </c>
      <c r="AC4" s="5">
        <f t="shared" si="0"/>
        <v>7.6666666666666675E-2</v>
      </c>
      <c r="AD4" s="5">
        <f t="shared" si="0"/>
        <v>0.08</v>
      </c>
      <c r="AE4" s="5">
        <f t="shared" si="0"/>
        <v>8.3333333333333343E-2</v>
      </c>
      <c r="AF4" s="5">
        <f t="shared" si="0"/>
        <v>8.666666666666667E-2</v>
      </c>
      <c r="AG4" s="5">
        <f t="shared" si="0"/>
        <v>9.0000000000000011E-2</v>
      </c>
      <c r="AH4" s="5">
        <f t="shared" si="0"/>
        <v>9.3333333333333338E-2</v>
      </c>
      <c r="AI4" s="5">
        <f t="shared" si="0"/>
        <v>9.6666666666666679E-2</v>
      </c>
      <c r="AJ4" s="5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1" t="s">
        <v>7</v>
      </c>
      <c r="F5" s="1">
        <f>(F8/$C$10)*$C$4+G5</f>
        <v>299.99997763108735</v>
      </c>
      <c r="G5" s="1">
        <v>293.33331096442066</v>
      </c>
      <c r="H5" s="1">
        <v>286.6666443611611</v>
      </c>
      <c r="I5" s="1">
        <v>279.99997782112894</v>
      </c>
      <c r="J5" s="1">
        <v>273.33331134396514</v>
      </c>
      <c r="K5" s="1">
        <v>266.66664492913264</v>
      </c>
      <c r="L5" s="1">
        <v>259.99997857591751</v>
      </c>
      <c r="M5" s="1">
        <v>253.3333122834313</v>
      </c>
      <c r="N5" s="1">
        <v>246.66664605061328</v>
      </c>
      <c r="O5" s="1">
        <v>239.99997987623377</v>
      </c>
      <c r="P5" s="1">
        <v>233.33331375889719</v>
      </c>
      <c r="Q5" s="1">
        <v>226.66664769704656</v>
      </c>
      <c r="R5" s="1">
        <v>219.9999816889673</v>
      </c>
      <c r="S5" s="1">
        <v>213.33331573279273</v>
      </c>
      <c r="T5" s="1">
        <v>206.66664982650872</v>
      </c>
      <c r="U5" s="1">
        <v>199.99998396796005</v>
      </c>
      <c r="V5" s="1">
        <v>193.33331815485587</v>
      </c>
      <c r="W5" s="1">
        <v>186.6666523847768</v>
      </c>
      <c r="X5" s="1">
        <v>179.99998665518126</v>
      </c>
      <c r="Y5" s="1">
        <v>173.33332096341309</v>
      </c>
      <c r="Z5" s="1">
        <v>166.66665530670878</v>
      </c>
      <c r="AA5" s="1">
        <v>159.9999896822055</v>
      </c>
      <c r="AB5" s="1">
        <v>153.33332408694912</v>
      </c>
      <c r="AC5" s="1">
        <v>146.66665851790265</v>
      </c>
      <c r="AD5" s="1">
        <v>139.99999297195473</v>
      </c>
      <c r="AE5" s="1">
        <v>133.33332744592857</v>
      </c>
      <c r="AF5" s="1">
        <v>126.66666193659087</v>
      </c>
      <c r="AG5" s="1">
        <v>119.99999644066111</v>
      </c>
      <c r="AH5" s="1">
        <v>113.3333309548207</v>
      </c>
      <c r="AI5" s="1">
        <v>106.66666547572241</v>
      </c>
      <c r="AJ5" s="1">
        <v>100</v>
      </c>
    </row>
    <row r="6" spans="2:36" x14ac:dyDescent="0.25">
      <c r="B6" s="1" t="s">
        <v>3</v>
      </c>
      <c r="C6" s="1">
        <v>5000</v>
      </c>
      <c r="D6" s="2">
        <v>5000.2333333333345</v>
      </c>
    </row>
    <row r="7" spans="2:36" x14ac:dyDescent="0.25">
      <c r="E7" s="1" t="s">
        <v>8</v>
      </c>
      <c r="F7" s="1"/>
      <c r="G7" s="1">
        <f>G5+(($C$10*$C$5)/($C$8*$C$9))*((H5-2*G5+F5)/($C$4^2))</f>
        <v>293.33331099612423</v>
      </c>
      <c r="H7" s="1">
        <f>H5+(($C$10*$C$5)/($C$8*$C$9))*((I5-2*H5+G5)/($C$4^2))</f>
        <v>286.6666443927748</v>
      </c>
      <c r="I7" s="1">
        <f t="shared" ref="I7:AI7" si="1">I5+(($C$10*$C$5)/($C$8*$C$9))*((J5-2*I5+H5)/($C$4^2))</f>
        <v>279.99997785256312</v>
      </c>
      <c r="J7" s="1">
        <f t="shared" si="1"/>
        <v>273.33331137513079</v>
      </c>
      <c r="K7" s="1">
        <f t="shared" si="1"/>
        <v>266.66664495994132</v>
      </c>
      <c r="L7" s="1">
        <f t="shared" si="1"/>
        <v>259.99997860628196</v>
      </c>
      <c r="M7" s="1">
        <f t="shared" si="1"/>
        <v>253.3333123132654</v>
      </c>
      <c r="N7" s="1">
        <f t="shared" si="1"/>
        <v>246.66664607983253</v>
      </c>
      <c r="O7" s="1">
        <f t="shared" si="1"/>
        <v>239.99997990475524</v>
      </c>
      <c r="P7" s="1">
        <f t="shared" si="1"/>
        <v>233.33331378664016</v>
      </c>
      <c r="Q7" s="1">
        <f t="shared" si="1"/>
        <v>226.66664772393224</v>
      </c>
      <c r="R7" s="1">
        <f t="shared" si="1"/>
        <v>219.99998171491964</v>
      </c>
      <c r="S7" s="1">
        <f t="shared" si="1"/>
        <v>213.33331575773801</v>
      </c>
      <c r="T7" s="1">
        <f t="shared" si="1"/>
        <v>206.66664985037639</v>
      </c>
      <c r="U7" s="1">
        <f t="shared" si="1"/>
        <v>199.9999839906823</v>
      </c>
      <c r="V7" s="1">
        <f t="shared" si="1"/>
        <v>193.33331817636844</v>
      </c>
      <c r="W7" s="1">
        <f t="shared" si="1"/>
        <v>186.66665240501857</v>
      </c>
      <c r="X7" s="1">
        <f t="shared" si="1"/>
        <v>179.99998667409494</v>
      </c>
      <c r="Y7" s="1">
        <f t="shared" si="1"/>
        <v>173.33332098094502</v>
      </c>
      <c r="Z7" s="1">
        <f t="shared" si="1"/>
        <v>166.66665532280928</v>
      </c>
      <c r="AA7" s="1">
        <f t="shared" si="1"/>
        <v>159.99998969682895</v>
      </c>
      <c r="AB7" s="1">
        <f t="shared" si="1"/>
        <v>153.33332410005409</v>
      </c>
      <c r="AC7" s="1">
        <f t="shared" si="1"/>
        <v>146.66665852945192</v>
      </c>
      <c r="AD7" s="1">
        <f t="shared" si="1"/>
        <v>139.99999298191563</v>
      </c>
      <c r="AE7" s="1">
        <f t="shared" si="1"/>
        <v>133.33332745427279</v>
      </c>
      <c r="AF7" s="1">
        <f t="shared" si="1"/>
        <v>126.66666194329484</v>
      </c>
      <c r="AG7" s="1">
        <f t="shared" si="1"/>
        <v>119.99999644570579</v>
      </c>
      <c r="AH7" s="1">
        <f t="shared" si="1"/>
        <v>113.33333095819177</v>
      </c>
      <c r="AI7" s="1">
        <f t="shared" si="1"/>
        <v>106.66666547741035</v>
      </c>
      <c r="AJ7" s="1"/>
    </row>
    <row r="8" spans="2:36" x14ac:dyDescent="0.25">
      <c r="B8" s="1" t="s">
        <v>4</v>
      </c>
      <c r="C8" s="1">
        <v>460</v>
      </c>
      <c r="E8" s="1" t="s">
        <v>9</v>
      </c>
      <c r="F8" s="1">
        <v>92000</v>
      </c>
      <c r="G8" s="1">
        <f>-$C$10*((G5-F5)/$C$4)</f>
        <v>92000.000000000247</v>
      </c>
      <c r="H8" s="1">
        <f t="shared" ref="H8:AJ8" si="2">-$C$10*((H5-G5)/$C$4)</f>
        <v>91999.999124981885</v>
      </c>
      <c r="I8" s="1">
        <f t="shared" si="2"/>
        <v>91999.998252443896</v>
      </c>
      <c r="J8" s="1">
        <f t="shared" si="2"/>
        <v>91999.997384860442</v>
      </c>
      <c r="K8" s="1">
        <f t="shared" si="2"/>
        <v>91999.996524688366</v>
      </c>
      <c r="L8" s="1">
        <f t="shared" si="2"/>
        <v>91999.995674368853</v>
      </c>
      <c r="M8" s="1">
        <f t="shared" si="2"/>
        <v>91999.994836309721</v>
      </c>
      <c r="N8" s="1">
        <f t="shared" si="2"/>
        <v>91999.994012888623</v>
      </c>
      <c r="O8" s="1">
        <f t="shared" si="2"/>
        <v>91999.993206437299</v>
      </c>
      <c r="P8" s="1">
        <f t="shared" si="2"/>
        <v>91999.992419244736</v>
      </c>
      <c r="Q8" s="1">
        <f t="shared" si="2"/>
        <v>91999.991653538746</v>
      </c>
      <c r="R8" s="1">
        <f t="shared" si="2"/>
        <v>91999.990911493791</v>
      </c>
      <c r="S8" s="1">
        <f t="shared" si="2"/>
        <v>91999.990195209044</v>
      </c>
      <c r="T8" s="1">
        <f t="shared" si="2"/>
        <v>91999.989506719328</v>
      </c>
      <c r="U8" s="1">
        <f t="shared" si="2"/>
        <v>91999.988847971617</v>
      </c>
      <c r="V8" s="1">
        <f t="shared" si="2"/>
        <v>91999.988220837593</v>
      </c>
      <c r="W8" s="1">
        <f t="shared" si="2"/>
        <v>91999.987627091265</v>
      </c>
      <c r="X8" s="1">
        <f t="shared" si="2"/>
        <v>91999.987068418384</v>
      </c>
      <c r="Y8" s="1">
        <f t="shared" si="2"/>
        <v>91999.986546400789</v>
      </c>
      <c r="Z8" s="1">
        <f t="shared" si="2"/>
        <v>91999.986062519471</v>
      </c>
      <c r="AA8" s="1">
        <f t="shared" si="2"/>
        <v>91999.985618145278</v>
      </c>
      <c r="AB8" s="1">
        <f t="shared" si="2"/>
        <v>91999.985214537985</v>
      </c>
      <c r="AC8" s="1">
        <f t="shared" si="2"/>
        <v>91999.984852841313</v>
      </c>
      <c r="AD8" s="1">
        <f t="shared" si="2"/>
        <v>91999.984534081304</v>
      </c>
      <c r="AE8" s="1">
        <f t="shared" si="2"/>
        <v>91999.984259160876</v>
      </c>
      <c r="AF8" s="1">
        <f t="shared" si="2"/>
        <v>91999.984028860315</v>
      </c>
      <c r="AG8" s="1">
        <f t="shared" si="2"/>
        <v>91999.98384383072</v>
      </c>
      <c r="AH8" s="1">
        <f t="shared" si="2"/>
        <v>91999.983704597675</v>
      </c>
      <c r="AI8" s="1">
        <f t="shared" si="2"/>
        <v>91999.983611556323</v>
      </c>
      <c r="AJ8" s="1">
        <f t="shared" si="2"/>
        <v>91999.983564969269</v>
      </c>
    </row>
    <row r="9" spans="2:36" x14ac:dyDescent="0.25">
      <c r="B9" s="1" t="s">
        <v>6</v>
      </c>
      <c r="C9" s="1">
        <v>7800</v>
      </c>
    </row>
    <row r="10" spans="2:36" x14ac:dyDescent="0.25">
      <c r="B10" s="1" t="s">
        <v>5</v>
      </c>
      <c r="C10" s="1">
        <v>46</v>
      </c>
    </row>
    <row r="12" spans="2:36" x14ac:dyDescent="0.25">
      <c r="B12" s="1" t="s">
        <v>10</v>
      </c>
      <c r="C12" s="1">
        <v>92000</v>
      </c>
    </row>
    <row r="13" spans="2:36" x14ac:dyDescent="0.25">
      <c r="B13" s="1" t="s">
        <v>11</v>
      </c>
      <c r="C13" s="1">
        <v>100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21"/>
  <sheetViews>
    <sheetView tabSelected="1" zoomScale="60" zoomScaleNormal="60" workbookViewId="0">
      <selection activeCell="AI16" sqref="AI16"/>
    </sheetView>
  </sheetViews>
  <sheetFormatPr defaultRowHeight="13.8" x14ac:dyDescent="0.25"/>
  <cols>
    <col min="1" max="5" width="8.88671875" style="2"/>
    <col min="6" max="17" width="7.109375" style="2" customWidth="1"/>
    <col min="18" max="18" width="6.77734375" style="2" customWidth="1"/>
    <col min="19" max="23" width="7.109375" style="2" customWidth="1"/>
    <col min="24" max="24" width="6.77734375" style="2" customWidth="1"/>
    <col min="25" max="30" width="7.109375" style="2" customWidth="1"/>
    <col min="31" max="31" width="6.77734375" style="2" customWidth="1"/>
    <col min="32" max="36" width="7.109375" style="2" customWidth="1"/>
    <col min="37" max="16384" width="8.88671875" style="2"/>
  </cols>
  <sheetData>
    <row r="3" spans="2:36" x14ac:dyDescent="0.25">
      <c r="B3" s="1" t="s">
        <v>0</v>
      </c>
      <c r="C3" s="1">
        <v>0.1</v>
      </c>
      <c r="F3" s="3">
        <v>1</v>
      </c>
      <c r="G3" s="3">
        <v>2</v>
      </c>
      <c r="H3" s="3">
        <v>3</v>
      </c>
      <c r="I3" s="3">
        <v>4</v>
      </c>
      <c r="J3" s="3">
        <v>5</v>
      </c>
      <c r="K3" s="3">
        <v>6</v>
      </c>
      <c r="L3" s="3">
        <v>7</v>
      </c>
      <c r="M3" s="3">
        <v>8</v>
      </c>
      <c r="N3" s="3">
        <v>9</v>
      </c>
      <c r="O3" s="3">
        <v>10</v>
      </c>
      <c r="P3" s="3">
        <v>11</v>
      </c>
      <c r="Q3" s="3">
        <v>12</v>
      </c>
      <c r="R3" s="3">
        <v>13</v>
      </c>
      <c r="S3" s="3">
        <v>14</v>
      </c>
      <c r="T3" s="3">
        <v>15</v>
      </c>
      <c r="U3" s="3">
        <v>16</v>
      </c>
      <c r="V3" s="3">
        <v>17</v>
      </c>
      <c r="W3" s="3">
        <v>18</v>
      </c>
      <c r="X3" s="3">
        <v>19</v>
      </c>
      <c r="Y3" s="3">
        <v>20</v>
      </c>
      <c r="Z3" s="3">
        <v>21</v>
      </c>
      <c r="AA3" s="3">
        <v>22</v>
      </c>
      <c r="AB3" s="3">
        <v>23</v>
      </c>
      <c r="AC3" s="3">
        <v>24</v>
      </c>
      <c r="AD3" s="3">
        <v>25</v>
      </c>
      <c r="AE3" s="3">
        <v>26</v>
      </c>
      <c r="AF3" s="3">
        <v>27</v>
      </c>
      <c r="AG3" s="3">
        <v>28</v>
      </c>
      <c r="AH3" s="3">
        <v>29</v>
      </c>
      <c r="AI3" s="3">
        <v>30</v>
      </c>
      <c r="AJ3" s="3">
        <v>31</v>
      </c>
    </row>
    <row r="4" spans="2:36" x14ac:dyDescent="0.25">
      <c r="B4" s="1" t="s">
        <v>1</v>
      </c>
      <c r="C4" s="4">
        <f>C3/30</f>
        <v>3.3333333333333335E-3</v>
      </c>
      <c r="E4" s="1" t="s">
        <v>0</v>
      </c>
      <c r="F4" s="4">
        <v>0</v>
      </c>
      <c r="G4" s="4">
        <f>F3*$C$4</f>
        <v>3.3333333333333335E-3</v>
      </c>
      <c r="H4" s="4">
        <f t="shared" ref="H4:AJ4" si="0">G3*$C$4</f>
        <v>6.6666666666666671E-3</v>
      </c>
      <c r="I4" s="4">
        <f t="shared" si="0"/>
        <v>0.01</v>
      </c>
      <c r="J4" s="4">
        <f t="shared" si="0"/>
        <v>1.3333333333333334E-2</v>
      </c>
      <c r="K4" s="4">
        <f t="shared" si="0"/>
        <v>1.6666666666666666E-2</v>
      </c>
      <c r="L4" s="4">
        <f t="shared" si="0"/>
        <v>0.02</v>
      </c>
      <c r="M4" s="4">
        <f t="shared" si="0"/>
        <v>2.3333333333333334E-2</v>
      </c>
      <c r="N4" s="4">
        <f t="shared" si="0"/>
        <v>2.6666666666666668E-2</v>
      </c>
      <c r="O4" s="4">
        <f t="shared" si="0"/>
        <v>3.0000000000000002E-2</v>
      </c>
      <c r="P4" s="4">
        <f t="shared" si="0"/>
        <v>3.3333333333333333E-2</v>
      </c>
      <c r="Q4" s="4">
        <f t="shared" si="0"/>
        <v>3.6666666666666667E-2</v>
      </c>
      <c r="R4" s="4">
        <f t="shared" si="0"/>
        <v>0.04</v>
      </c>
      <c r="S4" s="4">
        <f t="shared" si="0"/>
        <v>4.3333333333333335E-2</v>
      </c>
      <c r="T4" s="4">
        <f t="shared" si="0"/>
        <v>4.6666666666666669E-2</v>
      </c>
      <c r="U4" s="4">
        <f t="shared" si="0"/>
        <v>0.05</v>
      </c>
      <c r="V4" s="4">
        <f t="shared" si="0"/>
        <v>5.3333333333333337E-2</v>
      </c>
      <c r="W4" s="4">
        <f t="shared" si="0"/>
        <v>5.6666666666666671E-2</v>
      </c>
      <c r="X4" s="4">
        <f t="shared" si="0"/>
        <v>6.0000000000000005E-2</v>
      </c>
      <c r="Y4" s="4">
        <f t="shared" si="0"/>
        <v>6.3333333333333339E-2</v>
      </c>
      <c r="Z4" s="4">
        <f t="shared" si="0"/>
        <v>6.6666666666666666E-2</v>
      </c>
      <c r="AA4" s="4">
        <f t="shared" si="0"/>
        <v>7.0000000000000007E-2</v>
      </c>
      <c r="AB4" s="4">
        <f t="shared" si="0"/>
        <v>7.3333333333333334E-2</v>
      </c>
      <c r="AC4" s="4">
        <f t="shared" si="0"/>
        <v>7.6666666666666675E-2</v>
      </c>
      <c r="AD4" s="4">
        <f t="shared" si="0"/>
        <v>0.08</v>
      </c>
      <c r="AE4" s="4">
        <f t="shared" si="0"/>
        <v>8.3333333333333343E-2</v>
      </c>
      <c r="AF4" s="4">
        <f t="shared" si="0"/>
        <v>8.666666666666667E-2</v>
      </c>
      <c r="AG4" s="4">
        <f t="shared" si="0"/>
        <v>9.0000000000000011E-2</v>
      </c>
      <c r="AH4" s="4">
        <f t="shared" si="0"/>
        <v>9.3333333333333338E-2</v>
      </c>
      <c r="AI4" s="4">
        <f t="shared" si="0"/>
        <v>9.6666666666666679E-2</v>
      </c>
      <c r="AJ4" s="4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1" t="s">
        <v>7</v>
      </c>
      <c r="F5" s="4">
        <f>G5+($C$11*($C$13-$C$14)*$C$4)/$C$10</f>
        <v>29.661999197871289</v>
      </c>
      <c r="G5" s="4">
        <v>29.296781806566941</v>
      </c>
      <c r="H5" s="4">
        <v>28.935233895675822</v>
      </c>
      <c r="I5" s="4">
        <v>28.57734500133509</v>
      </c>
      <c r="J5" s="4">
        <v>28.223094474061632</v>
      </c>
      <c r="K5" s="4">
        <v>27.872451042938547</v>
      </c>
      <c r="L5" s="4">
        <v>27.525373638766656</v>
      </c>
      <c r="M5" s="4">
        <v>27.181810544127231</v>
      </c>
      <c r="N5" s="4">
        <v>26.841700727225529</v>
      </c>
      <c r="O5" s="4">
        <v>26.504972620206598</v>
      </c>
      <c r="P5" s="4">
        <v>26.171545908345795</v>
      </c>
      <c r="Q5" s="4">
        <v>25.84132999772142</v>
      </c>
      <c r="R5" s="4">
        <v>25.514226185724361</v>
      </c>
      <c r="S5" s="4">
        <v>25.190125895089981</v>
      </c>
      <c r="T5" s="4">
        <v>24.868913136284426</v>
      </c>
      <c r="U5" s="4">
        <v>24.550462597229068</v>
      </c>
      <c r="V5" s="4">
        <v>24.23464229665047</v>
      </c>
      <c r="W5" s="4">
        <v>23.921311627016443</v>
      </c>
      <c r="X5" s="4">
        <v>23.610324090909334</v>
      </c>
      <c r="Y5" s="4">
        <v>23.301525398344417</v>
      </c>
      <c r="Z5" s="4">
        <v>22.994756175941333</v>
      </c>
      <c r="AA5" s="4">
        <v>22.689850218730903</v>
      </c>
      <c r="AB5" s="4">
        <v>22.386637064443796</v>
      </c>
      <c r="AC5" s="4">
        <v>22.084940494163121</v>
      </c>
      <c r="AD5" s="4">
        <v>21.784580871292931</v>
      </c>
      <c r="AE5" s="4">
        <v>21.485373975227027</v>
      </c>
      <c r="AF5" s="4">
        <v>21.187133016162292</v>
      </c>
      <c r="AG5" s="4">
        <v>20.889667871777267</v>
      </c>
      <c r="AH5" s="4">
        <v>20.592786704481462</v>
      </c>
      <c r="AI5" s="4">
        <v>20.296295653561259</v>
      </c>
      <c r="AJ5" s="4">
        <v>20</v>
      </c>
    </row>
    <row r="6" spans="2:36" x14ac:dyDescent="0.25">
      <c r="B6" s="1" t="s">
        <v>3</v>
      </c>
      <c r="C6" s="1">
        <v>1000</v>
      </c>
      <c r="D6" s="2">
        <v>1000.1333333333334</v>
      </c>
    </row>
    <row r="7" spans="2:36" x14ac:dyDescent="0.25">
      <c r="E7" s="1" t="s">
        <v>8</v>
      </c>
      <c r="F7" s="1"/>
      <c r="G7" s="4">
        <f>G5+(($C$10*$C$5)/($C$9*$C$8))*((H5-2*G5+F5)/($C$4^2))</f>
        <v>29.298616546773555</v>
      </c>
      <c r="H7" s="4">
        <f>H5+(($C$10*$C$5)/($C$9*$C$8))*((I5-2*H5+G5)/($C$4^2))</f>
        <v>28.937063403951015</v>
      </c>
      <c r="I7" s="4">
        <f t="shared" ref="I7:AI7" si="1">I5+(($C$10*$C$5)/($C$9*$C$8))*((J5-2*I5+H5)/($C$4^2))</f>
        <v>28.579164184868727</v>
      </c>
      <c r="J7" s="4">
        <f t="shared" si="1"/>
        <v>28.22489802213682</v>
      </c>
      <c r="K7" s="4">
        <f t="shared" si="1"/>
        <v>27.874234056414146</v>
      </c>
      <c r="L7" s="4">
        <f t="shared" si="1"/>
        <v>27.527130793532891</v>
      </c>
      <c r="M7" s="4">
        <f t="shared" si="1"/>
        <v>27.183537182996091</v>
      </c>
      <c r="N7" s="4">
        <f t="shared" si="1"/>
        <v>26.843391582166916</v>
      </c>
      <c r="O7" s="4">
        <f t="shared" si="1"/>
        <v>26.50662331778566</v>
      </c>
      <c r="P7" s="4">
        <f t="shared" si="1"/>
        <v>26.173151308964009</v>
      </c>
      <c r="Q7" s="4">
        <f t="shared" si="1"/>
        <v>25.84288604703508</v>
      </c>
      <c r="R7" s="4">
        <f t="shared" si="1"/>
        <v>25.515727946405701</v>
      </c>
      <c r="S7" s="4">
        <f t="shared" si="1"/>
        <v>25.191569661004394</v>
      </c>
      <c r="T7" s="4">
        <f t="shared" si="1"/>
        <v>24.870294246159524</v>
      </c>
      <c r="U7" s="4">
        <f t="shared" si="1"/>
        <v>24.551777716467448</v>
      </c>
      <c r="V7" s="4">
        <f t="shared" si="1"/>
        <v>24.235887112122754</v>
      </c>
      <c r="W7" s="4">
        <f t="shared" si="1"/>
        <v>23.922483193779904</v>
      </c>
      <c r="X7" s="4">
        <f t="shared" si="1"/>
        <v>23.61141851268043</v>
      </c>
      <c r="Y7" s="4">
        <f t="shared" si="1"/>
        <v>23.302540133425332</v>
      </c>
      <c r="Z7" s="4">
        <f t="shared" si="1"/>
        <v>22.99568780853766</v>
      </c>
      <c r="AA7" s="4">
        <f t="shared" si="1"/>
        <v>22.690696620192565</v>
      </c>
      <c r="AB7" s="4">
        <f t="shared" si="1"/>
        <v>22.387395356447012</v>
      </c>
      <c r="AC7" s="4">
        <f t="shared" si="1"/>
        <v>22.085608967868364</v>
      </c>
      <c r="AD7" s="4">
        <f t="shared" si="1"/>
        <v>21.785157234695074</v>
      </c>
      <c r="AE7" s="4">
        <f t="shared" si="1"/>
        <v>21.485856943727612</v>
      </c>
      <c r="AF7" s="4">
        <f t="shared" si="1"/>
        <v>21.187520923502149</v>
      </c>
      <c r="AG7" s="4">
        <f t="shared" si="1"/>
        <v>20.889959860321877</v>
      </c>
      <c r="AH7" s="4">
        <f t="shared" si="1"/>
        <v>20.592981762669261</v>
      </c>
      <c r="AI7" s="4">
        <f t="shared" si="1"/>
        <v>20.296393352240731</v>
      </c>
    </row>
    <row r="8" spans="2:36" x14ac:dyDescent="0.25">
      <c r="B8" s="1" t="s">
        <v>4</v>
      </c>
      <c r="C8" s="1">
        <v>460</v>
      </c>
      <c r="E8" s="1" t="s">
        <v>9</v>
      </c>
      <c r="F8" s="1">
        <f>C13-C14</f>
        <v>80</v>
      </c>
      <c r="G8" s="4">
        <f>(F5-G5)*$C$10/($C$11*$C$4)</f>
        <v>80.000000000000114</v>
      </c>
      <c r="H8" s="4">
        <f t="shared" ref="H8:AI8" si="2">(G5-H5)*$C$10/($C$11*$C$4)</f>
        <v>79.196209052340308</v>
      </c>
      <c r="I8" s="4">
        <f t="shared" si="2"/>
        <v>78.394710188922261</v>
      </c>
      <c r="J8" s="4">
        <f t="shared" si="2"/>
        <v>77.597734545614443</v>
      </c>
      <c r="K8" s="4">
        <f t="shared" si="2"/>
        <v>76.807608722199674</v>
      </c>
      <c r="L8" s="4">
        <f t="shared" si="2"/>
        <v>76.026479009080916</v>
      </c>
      <c r="M8" s="4">
        <f t="shared" si="2"/>
        <v>75.256677873397805</v>
      </c>
      <c r="N8" s="4">
        <f t="shared" si="2"/>
        <v>74.500245607039446</v>
      </c>
      <c r="O8" s="4">
        <f t="shared" si="2"/>
        <v>73.759490108908778</v>
      </c>
      <c r="P8" s="4">
        <f t="shared" si="2"/>
        <v>73.036327359985307</v>
      </c>
      <c r="Q8" s="4">
        <f t="shared" si="2"/>
        <v>72.333008993910695</v>
      </c>
      <c r="R8" s="4">
        <f t="shared" si="2"/>
        <v>71.651311199355789</v>
      </c>
      <c r="S8" s="4">
        <f t="shared" si="2"/>
        <v>70.993396996102319</v>
      </c>
      <c r="T8" s="4">
        <f t="shared" si="2"/>
        <v>70.360890024073825</v>
      </c>
      <c r="U8" s="4">
        <f t="shared" si="2"/>
        <v>69.755832364507185</v>
      </c>
      <c r="V8" s="4">
        <f t="shared" si="2"/>
        <v>69.17968488864507</v>
      </c>
      <c r="W8" s="4">
        <f t="shared" si="2"/>
        <v>68.634337157929721</v>
      </c>
      <c r="X8" s="4">
        <f>(W5-X5)*$C$10/($C$11*$C$4)</f>
        <v>68.12107933774783</v>
      </c>
      <c r="Y8" s="4">
        <f t="shared" si="2"/>
        <v>67.641618371362739</v>
      </c>
      <c r="Z8" s="4">
        <f t="shared" si="2"/>
        <v>67.19706776448497</v>
      </c>
      <c r="AA8" s="4">
        <f t="shared" si="2"/>
        <v>66.788923960379847</v>
      </c>
      <c r="AB8" s="4">
        <f t="shared" si="2"/>
        <v>66.418119510509158</v>
      </c>
      <c r="AC8" s="4">
        <f t="shared" si="2"/>
        <v>66.085915394814677</v>
      </c>
      <c r="AD8" s="4">
        <f t="shared" si="2"/>
        <v>65.793060247755776</v>
      </c>
      <c r="AE8" s="4">
        <f t="shared" si="2"/>
        <v>65.540558185864683</v>
      </c>
      <c r="AF8" s="4">
        <f t="shared" si="2"/>
        <v>65.328971985608618</v>
      </c>
      <c r="AG8" s="4">
        <f t="shared" si="2"/>
        <v>65.159031627196072</v>
      </c>
      <c r="AH8" s="4">
        <f t="shared" si="2"/>
        <v>65.031112836223883</v>
      </c>
      <c r="AI8" s="4">
        <f t="shared" si="2"/>
        <v>64.945658772996794</v>
      </c>
    </row>
    <row r="9" spans="2:36" x14ac:dyDescent="0.25">
      <c r="B9" s="1" t="s">
        <v>6</v>
      </c>
      <c r="C9" s="1">
        <v>7800</v>
      </c>
    </row>
    <row r="10" spans="2:36" x14ac:dyDescent="0.25">
      <c r="B10" s="1" t="s">
        <v>5</v>
      </c>
      <c r="C10" s="1">
        <v>46</v>
      </c>
    </row>
    <row r="11" spans="2:36" x14ac:dyDescent="0.25">
      <c r="B11" s="7" t="s">
        <v>12</v>
      </c>
      <c r="C11" s="7">
        <v>63</v>
      </c>
    </row>
    <row r="12" spans="2:36" x14ac:dyDescent="0.25">
      <c r="B12" s="1" t="s">
        <v>10</v>
      </c>
      <c r="C12" s="1">
        <v>92000</v>
      </c>
    </row>
    <row r="13" spans="2:36" x14ac:dyDescent="0.25">
      <c r="B13" s="1" t="s">
        <v>11</v>
      </c>
      <c r="C13" s="1">
        <v>100</v>
      </c>
    </row>
    <row r="14" spans="2:36" x14ac:dyDescent="0.25">
      <c r="B14" s="7" t="s">
        <v>13</v>
      </c>
      <c r="C14" s="1">
        <v>20</v>
      </c>
    </row>
    <row r="16" spans="2:36" x14ac:dyDescent="0.25">
      <c r="B16" s="8"/>
      <c r="C16" s="8"/>
    </row>
    <row r="17" spans="2:3" x14ac:dyDescent="0.25">
      <c r="B17" s="8"/>
      <c r="C17" s="8"/>
    </row>
    <row r="18" spans="2:3" x14ac:dyDescent="0.25">
      <c r="B18" s="8"/>
      <c r="C18" s="8"/>
    </row>
    <row r="19" spans="2:3" x14ac:dyDescent="0.25">
      <c r="B19" s="8"/>
      <c r="C19" s="8"/>
    </row>
    <row r="20" spans="2:3" x14ac:dyDescent="0.25">
      <c r="B20" s="8"/>
      <c r="C20" s="8"/>
    </row>
    <row r="21" spans="2:3" x14ac:dyDescent="0.25">
      <c r="B21" s="8"/>
      <c r="C21" s="8"/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Blin Spasibo</cp:lastModifiedBy>
  <dcterms:created xsi:type="dcterms:W3CDTF">2021-03-21T16:37:37Z</dcterms:created>
  <dcterms:modified xsi:type="dcterms:W3CDTF">2021-04-05T16:06:45Z</dcterms:modified>
</cp:coreProperties>
</file>